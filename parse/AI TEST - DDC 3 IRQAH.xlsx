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anacontrols-my.sharepoint.com/personal/m_ali_sanacontrols_com/Documents/Desktop/Improvment/AI/"/>
    </mc:Choice>
  </mc:AlternateContent>
  <xr:revisionPtr revIDLastSave="125" documentId="11_F25DC773A252ABDACC104849C99C61665BDE58E7" xr6:coauthVersionLast="47" xr6:coauthVersionMax="47" xr10:uidLastSave="{BE6D246C-3B5C-40A6-BAD7-401F06F4E4E0}"/>
  <bookViews>
    <workbookView xWindow="-17172" yWindow="0" windowWidth="17280" windowHeight="8928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Sheet1!$B$1:$O$69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1" l="1"/>
  <c r="J67" i="1" a="1"/>
  <c r="J67" i="1" s="1"/>
  <c r="M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M58" i="1"/>
  <c r="L58" i="1"/>
  <c r="J58" i="1"/>
  <c r="O57" i="1"/>
  <c r="M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J51" i="1"/>
  <c r="O50" i="1"/>
  <c r="M48" i="1"/>
  <c r="L48" i="1"/>
  <c r="K48" i="1"/>
  <c r="J48" i="1"/>
  <c r="M47" i="1"/>
  <c r="L47" i="1"/>
  <c r="K47" i="1"/>
  <c r="J47" i="1"/>
  <c r="M46" i="1"/>
  <c r="L46" i="1"/>
  <c r="K46" i="1"/>
  <c r="J46" i="1"/>
  <c r="E46" i="1"/>
  <c r="E47" i="1" s="1"/>
  <c r="E48" i="1" s="1"/>
  <c r="O45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E40" i="1"/>
  <c r="E41" i="1" s="1"/>
  <c r="E42" i="1" s="1"/>
  <c r="E43" i="1" s="1"/>
  <c r="O39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E34" i="1"/>
  <c r="E35" i="1" s="1"/>
  <c r="E36" i="1" s="1"/>
  <c r="E37" i="1" s="1"/>
  <c r="M33" i="1"/>
  <c r="L33" i="1"/>
  <c r="K33" i="1"/>
  <c r="J33" i="1"/>
  <c r="E33" i="1"/>
  <c r="O32" i="1"/>
  <c r="M30" i="1"/>
  <c r="K30" i="1"/>
  <c r="J30" i="1"/>
  <c r="M29" i="1"/>
  <c r="L29" i="1"/>
  <c r="K29" i="1"/>
  <c r="J29" i="1"/>
  <c r="M28" i="1"/>
  <c r="L28" i="1"/>
  <c r="K28" i="1"/>
  <c r="J28" i="1"/>
  <c r="E28" i="1"/>
  <c r="E29" i="1" s="1"/>
  <c r="E30" i="1" s="1"/>
  <c r="O27" i="1"/>
  <c r="M25" i="1"/>
  <c r="L25" i="1"/>
  <c r="K25" i="1"/>
  <c r="J25" i="1"/>
  <c r="O24" i="1"/>
  <c r="M22" i="1"/>
  <c r="L22" i="1"/>
  <c r="K22" i="1"/>
  <c r="J22" i="1"/>
  <c r="M21" i="1"/>
  <c r="L21" i="1"/>
  <c r="K21" i="1"/>
  <c r="J21" i="1"/>
  <c r="E21" i="1"/>
  <c r="E22" i="1" s="1"/>
  <c r="O20" i="1"/>
  <c r="M18" i="1"/>
  <c r="L18" i="1"/>
  <c r="K18" i="1"/>
  <c r="J18" i="1"/>
  <c r="O17" i="1"/>
  <c r="E10" i="1"/>
  <c r="E11" i="1" s="1"/>
  <c r="E12" i="1" s="1"/>
  <c r="E13" i="1" s="1"/>
  <c r="E14" i="1" s="1"/>
  <c r="E15" i="1" s="1"/>
  <c r="O9" i="1"/>
  <c r="M7" i="1"/>
  <c r="L7" i="1"/>
  <c r="K7" i="1"/>
  <c r="J7" i="1"/>
  <c r="M6" i="1"/>
  <c r="L6" i="1"/>
  <c r="J6" i="1"/>
  <c r="E6" i="1"/>
  <c r="E7" i="1" s="1"/>
  <c r="O5" i="1"/>
  <c r="K65" i="1" l="1"/>
  <c r="K66" i="1" s="1"/>
  <c r="J65" i="1"/>
  <c r="J66" i="1" s="1"/>
  <c r="L65" i="1"/>
  <c r="L66" i="1" s="1"/>
  <c r="M65" i="1"/>
  <c r="M66" i="1" s="1"/>
  <c r="E67" i="1" a="1"/>
  <c r="E67" i="1" s="1"/>
  <c r="E6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<sst xmlns="http://schemas.openxmlformats.org/spreadsheetml/2006/main" count="103" uniqueCount="78">
  <si>
    <t>Item No.</t>
  </si>
  <si>
    <t>Device</t>
  </si>
  <si>
    <t>Point's Tag</t>
  </si>
  <si>
    <t>QTY</t>
  </si>
  <si>
    <t>DI</t>
  </si>
  <si>
    <t>DO</t>
  </si>
  <si>
    <t>AI</t>
  </si>
  <si>
    <t>AO</t>
  </si>
  <si>
    <t>Total Points</t>
  </si>
  <si>
    <t>Integration Connection / Route DDC / Route GW</t>
  </si>
  <si>
    <t>Requirements / Field Devices</t>
  </si>
  <si>
    <t>DI/BI</t>
  </si>
  <si>
    <t>DO/BO</t>
  </si>
  <si>
    <t>AI/UI</t>
  </si>
  <si>
    <t>AO/UO</t>
  </si>
  <si>
    <t>QTY. of Devices</t>
  </si>
  <si>
    <t>Physical Points</t>
  </si>
  <si>
    <t>By Others</t>
  </si>
  <si>
    <t>Spare Physical Points</t>
  </si>
  <si>
    <t>DDC Total Physical Points</t>
  </si>
  <si>
    <t>DDC Total Integration Devices / Points</t>
  </si>
  <si>
    <t>Integration With LCP</t>
  </si>
  <si>
    <t>BACnet/IP Integration</t>
  </si>
  <si>
    <t>IP Integ with Server Directly</t>
  </si>
  <si>
    <t>Lighting Switch Start/Stop Command</t>
  </si>
  <si>
    <t>Lighting Switch On/Off Status</t>
  </si>
  <si>
    <t>Electrical Vehicle Charging System</t>
  </si>
  <si>
    <t>Integration With Electrical Vehicle Charging System</t>
  </si>
  <si>
    <t>Over-Voltage Alarm</t>
  </si>
  <si>
    <t>Software Points</t>
  </si>
  <si>
    <t>Undervoltage Alarm</t>
  </si>
  <si>
    <t>High Temperature Alarm</t>
  </si>
  <si>
    <t>Low Temperature Alarm</t>
  </si>
  <si>
    <t>Charge/Discharge Overload Alarm</t>
  </si>
  <si>
    <t>Short Circuit Alarm</t>
  </si>
  <si>
    <t>Auditorium</t>
  </si>
  <si>
    <t>Integration With Auditorium</t>
  </si>
  <si>
    <t>General Alarms</t>
  </si>
  <si>
    <t>Access Control System</t>
  </si>
  <si>
    <t>Integration With Access Control Sys.</t>
  </si>
  <si>
    <t>Panel Trip Alarm</t>
  </si>
  <si>
    <t>Panel On/Off Status</t>
  </si>
  <si>
    <t>Auditorium AV System</t>
  </si>
  <si>
    <t>Integration With Auditorium AV System</t>
  </si>
  <si>
    <t>Motorized Damper</t>
  </si>
  <si>
    <t>Fire Damper Open/Close Control Signal</t>
  </si>
  <si>
    <t xml:space="preserve">from FACP </t>
  </si>
  <si>
    <t>Fire Damper Open/Close Status</t>
  </si>
  <si>
    <t>Isolation Damper Diff. Pressure Feedback</t>
  </si>
  <si>
    <t>by others</t>
  </si>
  <si>
    <t>SMDB/ESMDB Panels</t>
  </si>
  <si>
    <t>(MB-SS-SMDB)</t>
  </si>
  <si>
    <t>Incoming Trip Alarm</t>
  </si>
  <si>
    <t>Incoming On/Off Status</t>
  </si>
  <si>
    <t>Incoming Power Fail</t>
  </si>
  <si>
    <t>Outgoing Trip Alarm</t>
  </si>
  <si>
    <t>Outgoing On/Off Status</t>
  </si>
  <si>
    <t>UDB/UPP panel</t>
  </si>
  <si>
    <t>(MB-LG-UPP2)</t>
  </si>
  <si>
    <t>Fire Fighting Panels</t>
  </si>
  <si>
    <t>Power Supply Available</t>
  </si>
  <si>
    <t>Control Panel Alarm Status</t>
  </si>
  <si>
    <t>Manifold Release</t>
  </si>
  <si>
    <t>Submersible Pumps</t>
  </si>
  <si>
    <t>2 Sets (1 Duty &amp; 1 Standby)</t>
  </si>
  <si>
    <t>Pump Start/Stop Command</t>
  </si>
  <si>
    <t>Pump On/Off Status</t>
  </si>
  <si>
    <t>Pump Trip Alarm</t>
  </si>
  <si>
    <t>Pump Dry Run Alarm</t>
  </si>
  <si>
    <t>Level Indicator</t>
  </si>
  <si>
    <t>Fuel Transfer Pumps</t>
  </si>
  <si>
    <t>2 Acting</t>
  </si>
  <si>
    <t>From Pumps Control Panel</t>
  </si>
  <si>
    <t>Pump Auto Status</t>
  </si>
  <si>
    <t>Dry Run Alarm</t>
  </si>
  <si>
    <t>System Pressure</t>
  </si>
  <si>
    <t>Lighting Control System</t>
  </si>
  <si>
    <t>DDC 3 - Lower Ground - P1.2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</si>
</sst>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  <charset val="178"/>
    </font>
    <font>
      <b/>
      <sz val="10"/>
      <name val="Arial"/>
      <family val="2"/>
    </font>
    <font>
      <sz val="10"/>
      <color theme="0"/>
      <name val="Arial"/>
      <family val="2"/>
      <charset val="178"/>
    </font>
    <font>
      <b/>
      <i/>
      <sz val="11.5"/>
      <name val="Calibri"/>
      <family val="2"/>
      <scheme val="minor"/>
    </font>
    <font>
      <i/>
      <sz val="11.5"/>
      <color theme="0"/>
      <name val="Calibri"/>
      <family val="2"/>
      <scheme val="minor"/>
    </font>
    <font>
      <i/>
      <sz val="11.5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.5"/>
      <name val="Calibri"/>
      <family val="2"/>
      <scheme val="minor"/>
    </font>
    <font>
      <sz val="11.5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indexed="10"/>
      <name val="Arial"/>
      <family val="2"/>
      <charset val="178"/>
    </font>
    <font>
      <b/>
      <sz val="14"/>
      <color theme="0"/>
      <name val="Arial"/>
      <family val="2"/>
      <charset val="178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darkUp"/>
    </fill>
    <fill>
      <patternFill patternType="darkUp">
        <bgColor rgb="FFFF0000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99">
    <xf numFmtId="0" fontId="0" fillId="0" borderId="0" xfId="0"/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4" borderId="16" xfId="1" applyFont="1" applyFill="1" applyBorder="1" applyAlignment="1">
      <alignment horizontal="left" vertical="center"/>
    </xf>
    <xf numFmtId="0" fontId="9" fillId="0" borderId="17" xfId="1" applyFont="1" applyBorder="1" applyAlignment="1">
      <alignment vertical="center"/>
    </xf>
    <xf numFmtId="0" fontId="7" fillId="4" borderId="18" xfId="1" applyFont="1" applyFill="1" applyBorder="1" applyAlignment="1">
      <alignment horizontal="center" vertical="center"/>
    </xf>
    <xf numFmtId="0" fontId="5" fillId="3" borderId="18" xfId="1" applyFont="1" applyFill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" fillId="0" borderId="20" xfId="0" applyFont="1" applyBorder="1" applyAlignment="1" applyProtection="1">
      <alignment vertical="center"/>
      <protection locked="0"/>
    </xf>
    <xf numFmtId="0" fontId="11" fillId="0" borderId="17" xfId="1" applyFont="1" applyBorder="1" applyAlignment="1">
      <alignment horizontal="left"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4" borderId="16" xfId="1" applyFont="1" applyFill="1" applyBorder="1" applyAlignment="1">
      <alignment horizontal="left" vertical="center"/>
    </xf>
    <xf numFmtId="0" fontId="12" fillId="3" borderId="18" xfId="1" applyFont="1" applyFill="1" applyBorder="1" applyAlignment="1">
      <alignment horizontal="center" vertical="center"/>
    </xf>
    <xf numFmtId="0" fontId="0" fillId="0" borderId="20" xfId="0" applyBorder="1" applyAlignment="1" applyProtection="1">
      <alignment horizontal="left" vertical="center"/>
      <protection locked="0"/>
    </xf>
    <xf numFmtId="0" fontId="13" fillId="0" borderId="17" xfId="1" applyFont="1" applyBorder="1" applyAlignment="1">
      <alignment vertical="center"/>
    </xf>
    <xf numFmtId="0" fontId="14" fillId="4" borderId="18" xfId="1" applyFont="1" applyFill="1" applyBorder="1" applyAlignment="1">
      <alignment horizontal="center" vertical="center"/>
    </xf>
    <xf numFmtId="0" fontId="15" fillId="3" borderId="18" xfId="1" applyFont="1" applyFill="1" applyBorder="1" applyAlignment="1">
      <alignment horizontal="center" vertical="center"/>
    </xf>
    <xf numFmtId="0" fontId="0" fillId="0" borderId="20" xfId="0" applyBorder="1" applyAlignment="1" applyProtection="1">
      <alignment vertical="center"/>
      <protection locked="0"/>
    </xf>
    <xf numFmtId="0" fontId="16" fillId="2" borderId="17" xfId="1" applyFont="1" applyFill="1" applyBorder="1" applyAlignment="1">
      <alignment horizontal="center" vertical="center"/>
    </xf>
    <xf numFmtId="9" fontId="16" fillId="2" borderId="18" xfId="1" applyNumberFormat="1" applyFont="1" applyFill="1" applyBorder="1" applyAlignment="1">
      <alignment horizontal="center" vertical="center"/>
    </xf>
    <xf numFmtId="1" fontId="17" fillId="3" borderId="18" xfId="1" applyNumberFormat="1" applyFont="1" applyFill="1" applyBorder="1" applyAlignment="1">
      <alignment horizontal="center" vertical="center"/>
    </xf>
    <xf numFmtId="1" fontId="18" fillId="2" borderId="20" xfId="1" applyNumberFormat="1" applyFont="1" applyFill="1" applyBorder="1" applyAlignment="1">
      <alignment horizontal="center" vertical="center"/>
    </xf>
    <xf numFmtId="0" fontId="0" fillId="5" borderId="20" xfId="0" applyFill="1" applyBorder="1" applyAlignment="1" applyProtection="1">
      <alignment vertical="center"/>
      <protection locked="0"/>
    </xf>
    <xf numFmtId="0" fontId="19" fillId="2" borderId="18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16" fillId="2" borderId="18" xfId="1" applyFont="1" applyFill="1" applyBorder="1" applyAlignment="1">
      <alignment horizontal="center" vertical="center"/>
    </xf>
    <xf numFmtId="0" fontId="20" fillId="2" borderId="20" xfId="1" applyFont="1" applyFill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4" borderId="31" xfId="1" applyFont="1" applyFill="1" applyBorder="1" applyAlignment="1">
      <alignment horizontal="left" vertical="center"/>
    </xf>
    <xf numFmtId="0" fontId="16" fillId="2" borderId="32" xfId="1" applyFont="1" applyFill="1" applyBorder="1" applyAlignment="1">
      <alignment horizontal="center" vertical="center"/>
    </xf>
    <xf numFmtId="0" fontId="16" fillId="2" borderId="33" xfId="1" applyFont="1" applyFill="1" applyBorder="1" applyAlignment="1">
      <alignment horizontal="center" vertical="center"/>
    </xf>
    <xf numFmtId="0" fontId="17" fillId="3" borderId="33" xfId="1" applyFont="1" applyFill="1" applyBorder="1" applyAlignment="1">
      <alignment horizontal="center" vertical="center"/>
    </xf>
    <xf numFmtId="0" fontId="18" fillId="2" borderId="33" xfId="1" applyFont="1" applyFill="1" applyBorder="1" applyAlignment="1">
      <alignment horizontal="center" vertical="center"/>
    </xf>
    <xf numFmtId="0" fontId="21" fillId="2" borderId="34" xfId="1" applyFont="1" applyFill="1" applyBorder="1" applyAlignment="1">
      <alignment horizontal="center" vertical="center"/>
    </xf>
    <xf numFmtId="0" fontId="20" fillId="2" borderId="35" xfId="1" applyFont="1" applyFill="1" applyBorder="1" applyAlignment="1">
      <alignment horizontal="center" vertical="center"/>
    </xf>
    <xf numFmtId="0" fontId="0" fillId="5" borderId="35" xfId="0" applyFill="1" applyBorder="1" applyAlignment="1" applyProtection="1">
      <alignment vertical="center"/>
      <protection locked="0"/>
    </xf>
    <xf numFmtId="0" fontId="22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9" fillId="0" borderId="4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0" fillId="0" borderId="27" xfId="0" applyBorder="1" applyAlignment="1" applyProtection="1">
      <alignment horizontal="left" vertical="center"/>
      <protection locked="0"/>
    </xf>
    <xf numFmtId="0" fontId="4" fillId="6" borderId="41" xfId="0" applyFont="1" applyFill="1" applyBorder="1" applyAlignment="1">
      <alignment vertical="center"/>
    </xf>
    <xf numFmtId="0" fontId="4" fillId="6" borderId="42" xfId="0" applyFont="1" applyFill="1" applyBorder="1" applyAlignment="1">
      <alignment vertical="center"/>
    </xf>
    <xf numFmtId="0" fontId="2" fillId="7" borderId="42" xfId="0" applyFont="1" applyFill="1" applyBorder="1" applyAlignment="1">
      <alignment vertical="center"/>
    </xf>
    <xf numFmtId="0" fontId="4" fillId="6" borderId="43" xfId="0" applyFont="1" applyFill="1" applyBorder="1" applyAlignment="1">
      <alignment vertical="center"/>
    </xf>
    <xf numFmtId="0" fontId="10" fillId="0" borderId="44" xfId="1" applyFont="1" applyBorder="1" applyAlignment="1">
      <alignment horizontal="center" vertical="center"/>
    </xf>
    <xf numFmtId="1" fontId="23" fillId="0" borderId="39" xfId="0" applyNumberFormat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7" fillId="2" borderId="1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25" fillId="4" borderId="46" xfId="1" applyFont="1" applyFill="1" applyBorder="1" applyAlignment="1">
      <alignment horizontal="center" vertical="center"/>
    </xf>
    <xf numFmtId="0" fontId="25" fillId="4" borderId="47" xfId="1" applyFont="1" applyFill="1" applyBorder="1" applyAlignment="1">
      <alignment horizontal="center" vertical="center"/>
    </xf>
    <xf numFmtId="0" fontId="7" fillId="4" borderId="48" xfId="1" applyFont="1" applyFill="1" applyBorder="1" applyAlignment="1">
      <alignment horizontal="center" vertical="center"/>
    </xf>
    <xf numFmtId="1" fontId="18" fillId="2" borderId="18" xfId="1" applyNumberFormat="1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19" xfId="1" applyFont="1" applyFill="1" applyBorder="1" applyAlignment="1">
      <alignment horizontal="center" vertical="center"/>
    </xf>
    <xf numFmtId="0" fontId="3" fillId="0" borderId="21" xfId="1" applyFont="1" applyFill="1" applyBorder="1" applyAlignment="1">
      <alignment horizontal="center" vertical="center"/>
    </xf>
    <xf numFmtId="0" fontId="3" fillId="0" borderId="22" xfId="1" applyFont="1" applyFill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9" fillId="0" borderId="28" xfId="1" applyFont="1" applyFill="1" applyBorder="1" applyAlignment="1">
      <alignment horizontal="center" vertical="center"/>
    </xf>
    <xf numFmtId="0" fontId="9" fillId="0" borderId="29" xfId="1" applyFont="1" applyFill="1" applyBorder="1" applyAlignment="1">
      <alignment horizontal="center" vertical="center"/>
    </xf>
    <xf numFmtId="0" fontId="9" fillId="0" borderId="30" xfId="1" applyFont="1" applyFill="1" applyBorder="1" applyAlignment="1">
      <alignment horizontal="center" vertical="center"/>
    </xf>
    <xf numFmtId="0" fontId="6" fillId="0" borderId="18" xfId="1" applyFill="1" applyBorder="1" applyAlignment="1">
      <alignment horizontal="center" vertical="center"/>
    </xf>
    <xf numFmtId="0" fontId="13" fillId="0" borderId="18" xfId="1" applyFont="1" applyFill="1" applyBorder="1" applyAlignment="1">
      <alignment horizontal="center" vertical="center"/>
    </xf>
    <xf numFmtId="0" fontId="9" fillId="0" borderId="21" xfId="1" applyFont="1" applyFill="1" applyBorder="1" applyAlignment="1">
      <alignment horizontal="center" vertical="center"/>
    </xf>
    <xf numFmtId="0" fontId="9" fillId="0" borderId="22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4" fillId="0" borderId="0" xfId="0" applyFont="1"/>
    <xf numFmtId="0" fontId="9" fillId="0" borderId="0" xfId="1" applyFont="1" applyFill="1" applyBorder="1" applyAlignment="1">
      <alignment horizontal="center" vertical="center"/>
    </xf>
    <xf numFmtId="0" fontId="25" fillId="4" borderId="49" xfId="1" applyFont="1" applyFill="1" applyBorder="1" applyAlignment="1">
      <alignment horizontal="center" vertical="center"/>
    </xf>
  </cellXfs>
  <cellStyles count="2">
    <cellStyle name="Normal" xfId="0" builtinId="0"/>
    <cellStyle name="Normal 5" xfId="1" xr:uid="{33D78EC6-C983-4C0E-BA34-6E406299E6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acontrols-my.sharepoint.com/personal/m_ali_sanacontrols_com/Documents/Desktop/Improvment/AI/Q2025-SC-2058-BMS-R10%20(IRQAH%20University%20of%20Culture)%206.xlsx" TargetMode="External"/><Relationship Id="rId1" Type="http://schemas.openxmlformats.org/officeDocument/2006/relationships/externalLinkPath" Target="Q2025-SC-2058-BMS-R10%20(IRQAH%20University%20of%20Culture)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Sheet"/>
      <sheetName val="Detailed IO Points List"/>
      <sheetName val="IQ5-Select"/>
      <sheetName val="GWs Sum"/>
      <sheetName val="Integration"/>
      <sheetName val="Instruments"/>
      <sheetName val="Price Breakdown"/>
      <sheetName val="Equipment List"/>
      <sheetName val="Comparison Sheet"/>
      <sheetName val="PRIO"/>
      <sheetName val="IQ4-Select"/>
      <sheetName val="SUM PRICE"/>
      <sheetName val="ResponMatrix"/>
      <sheetName val="Honeywell BOQ"/>
      <sheetName val="Vendors BOQ"/>
      <sheetName val="GS-PL25"/>
      <sheetName val="H&amp;T-PL25"/>
      <sheetName val="STY-23"/>
      <sheetName val="ExOr24"/>
      <sheetName val="InactivePN"/>
      <sheetName val="RES2021"/>
      <sheetName val="VFD &amp; PI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view="pageBreakPreview" topLeftCell="C39" zoomScale="85" zoomScaleNormal="55" zoomScaleSheetLayoutView="85" workbookViewId="0">
      <selection activeCell="D58" sqref="D58"/>
    </sheetView>
  </sheetViews>
  <sheetFormatPr defaultRowHeight="15" x14ac:dyDescent="0.25"/>
  <cols>
    <col min="1" max="1" width="9.140625" style="96"/>
    <col min="2" max="2" width="11" bestFit="1" customWidth="1"/>
    <col min="3" max="3" width="42.42578125" bestFit="1" customWidth="1"/>
    <col min="4" max="4" width="65.5703125" bestFit="1" customWidth="1"/>
    <col min="5" max="5" width="6.7109375" bestFit="1" customWidth="1"/>
    <col min="6" max="6" width="4" hidden="1" customWidth="1"/>
    <col min="7" max="7" width="5.28515625" hidden="1" customWidth="1"/>
    <col min="8" max="8" width="4" hidden="1" customWidth="1"/>
    <col min="9" max="9" width="5.28515625" hidden="1" customWidth="1"/>
    <col min="10" max="10" width="7.140625" bestFit="1" customWidth="1"/>
    <col min="11" max="11" width="9.5703125" bestFit="1" customWidth="1"/>
    <col min="12" max="12" width="7.140625" customWidth="1"/>
    <col min="13" max="13" width="9.5703125" bestFit="1" customWidth="1"/>
    <col min="14" max="14" width="56.85546875" bestFit="1" customWidth="1"/>
    <col min="15" max="15" width="35.28515625" bestFit="1" customWidth="1"/>
  </cols>
  <sheetData>
    <row r="1" spans="2:15" ht="19.5" thickBot="1" x14ac:dyDescent="0.3">
      <c r="B1" s="76">
        <v>3</v>
      </c>
      <c r="C1" s="98" t="s">
        <v>77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</row>
    <row r="2" spans="2:15" x14ac:dyDescent="0.25">
      <c r="B2" s="72" t="s">
        <v>0</v>
      </c>
      <c r="C2" s="63" t="s">
        <v>1</v>
      </c>
      <c r="D2" s="63" t="s">
        <v>2</v>
      </c>
      <c r="E2" s="63" t="s">
        <v>3</v>
      </c>
      <c r="F2" s="65" t="s">
        <v>4</v>
      </c>
      <c r="G2" s="54" t="s">
        <v>5</v>
      </c>
      <c r="H2" s="54" t="s">
        <v>6</v>
      </c>
      <c r="I2" s="56" t="s">
        <v>7</v>
      </c>
      <c r="J2" s="58" t="s">
        <v>8</v>
      </c>
      <c r="K2" s="59"/>
      <c r="L2" s="59"/>
      <c r="M2" s="60"/>
      <c r="N2" s="61" t="s">
        <v>9</v>
      </c>
      <c r="O2" s="67" t="s">
        <v>10</v>
      </c>
    </row>
    <row r="3" spans="2:15" ht="15.75" thickBot="1" x14ac:dyDescent="0.3">
      <c r="B3" s="73"/>
      <c r="C3" s="64"/>
      <c r="D3" s="64"/>
      <c r="E3" s="64"/>
      <c r="F3" s="66"/>
      <c r="G3" s="55"/>
      <c r="H3" s="55"/>
      <c r="I3" s="57"/>
      <c r="J3" s="1" t="s">
        <v>11</v>
      </c>
      <c r="K3" s="2" t="s">
        <v>12</v>
      </c>
      <c r="L3" s="2" t="s">
        <v>13</v>
      </c>
      <c r="M3" s="3" t="s">
        <v>14</v>
      </c>
      <c r="N3" s="62"/>
      <c r="O3" s="68"/>
    </row>
    <row r="4" spans="2:15" x14ac:dyDescent="0.25">
      <c r="B4" s="4"/>
      <c r="C4" s="5"/>
      <c r="D4" s="6"/>
      <c r="E4" s="7"/>
      <c r="F4" s="8"/>
      <c r="G4" s="8"/>
      <c r="H4" s="8"/>
      <c r="I4" s="8"/>
      <c r="J4" s="78"/>
      <c r="K4" s="78"/>
      <c r="L4" s="78"/>
      <c r="M4" s="79"/>
      <c r="N4" s="51"/>
      <c r="O4" s="11"/>
    </row>
    <row r="5" spans="2:15" x14ac:dyDescent="0.25">
      <c r="B5" s="4">
        <v>1</v>
      </c>
      <c r="C5" s="5" t="s">
        <v>76</v>
      </c>
      <c r="D5" s="12" t="s">
        <v>21</v>
      </c>
      <c r="E5" s="7">
        <v>1</v>
      </c>
      <c r="F5" s="8"/>
      <c r="G5" s="8"/>
      <c r="H5" s="8"/>
      <c r="I5" s="8"/>
      <c r="J5" s="80" t="s">
        <v>22</v>
      </c>
      <c r="K5" s="81"/>
      <c r="L5" s="81"/>
      <c r="M5" s="82"/>
      <c r="N5" s="10" t="s">
        <v>23</v>
      </c>
      <c r="O5" s="13" t="e">
        <f>IF(J5="Physical Points","",CONCATENATE(#REF!," ",P5,"/",Q5))</f>
        <v>#REF!</v>
      </c>
    </row>
    <row r="6" spans="2:15" x14ac:dyDescent="0.25">
      <c r="B6" s="4"/>
      <c r="C6" s="5"/>
      <c r="D6" s="6" t="s">
        <v>24</v>
      </c>
      <c r="E6" s="7">
        <f>E5</f>
        <v>1</v>
      </c>
      <c r="F6" s="15">
        <v>0</v>
      </c>
      <c r="G6" s="15">
        <v>1</v>
      </c>
      <c r="H6" s="15">
        <v>0</v>
      </c>
      <c r="I6" s="15">
        <v>0</v>
      </c>
      <c r="J6" s="78">
        <f>F6*$F6</f>
        <v>0</v>
      </c>
      <c r="K6" s="78">
        <v>1</v>
      </c>
      <c r="L6" s="78">
        <f>H6*$F6</f>
        <v>0</v>
      </c>
      <c r="M6" s="79">
        <f>I6*$F6</f>
        <v>0</v>
      </c>
      <c r="N6" s="51"/>
      <c r="O6" s="20"/>
    </row>
    <row r="7" spans="2:15" x14ac:dyDescent="0.25">
      <c r="B7" s="4"/>
      <c r="C7" s="5"/>
      <c r="D7" s="6" t="s">
        <v>25</v>
      </c>
      <c r="E7" s="7">
        <f t="shared" ref="E7" si="0">E6</f>
        <v>1</v>
      </c>
      <c r="F7" s="15">
        <v>1</v>
      </c>
      <c r="G7" s="15">
        <v>0</v>
      </c>
      <c r="H7" s="15">
        <v>0</v>
      </c>
      <c r="I7" s="15">
        <v>0</v>
      </c>
      <c r="J7" s="78">
        <f>F7*$F7</f>
        <v>1</v>
      </c>
      <c r="K7" s="78">
        <f>G7*$F7</f>
        <v>0</v>
      </c>
      <c r="L7" s="78">
        <f>H7*$F7</f>
        <v>0</v>
      </c>
      <c r="M7" s="79">
        <f>I7*$F7</f>
        <v>0</v>
      </c>
      <c r="N7" s="51"/>
      <c r="O7" s="20"/>
    </row>
    <row r="8" spans="2:15" x14ac:dyDescent="0.25">
      <c r="B8" s="4"/>
      <c r="C8" s="5"/>
      <c r="D8" s="6"/>
      <c r="E8" s="7"/>
      <c r="F8" s="8"/>
      <c r="G8" s="8"/>
      <c r="H8" s="8"/>
      <c r="I8" s="8"/>
      <c r="J8" s="78"/>
      <c r="K8" s="78"/>
      <c r="L8" s="78"/>
      <c r="M8" s="79"/>
      <c r="N8" s="51"/>
      <c r="O8" s="11"/>
    </row>
    <row r="9" spans="2:15" x14ac:dyDescent="0.25">
      <c r="B9" s="4">
        <v>2</v>
      </c>
      <c r="C9" s="5" t="s">
        <v>26</v>
      </c>
      <c r="D9" s="12" t="s">
        <v>27</v>
      </c>
      <c r="E9" s="7">
        <v>18</v>
      </c>
      <c r="F9" s="8"/>
      <c r="G9" s="8"/>
      <c r="H9" s="8"/>
      <c r="I9" s="8"/>
      <c r="J9" s="80" t="s">
        <v>22</v>
      </c>
      <c r="K9" s="81"/>
      <c r="L9" s="81"/>
      <c r="M9" s="82"/>
      <c r="N9" s="10" t="s">
        <v>23</v>
      </c>
      <c r="O9" s="13" t="e">
        <f>IF(J9="Physical Points","",CONCATENATE(#REF!," ",P9,"/",Q9))</f>
        <v>#REF!</v>
      </c>
    </row>
    <row r="10" spans="2:15" x14ac:dyDescent="0.25">
      <c r="B10" s="4"/>
      <c r="C10" s="5"/>
      <c r="D10" s="6" t="s">
        <v>28</v>
      </c>
      <c r="E10" s="7">
        <f>E9</f>
        <v>18</v>
      </c>
      <c r="F10" s="15"/>
      <c r="G10" s="15"/>
      <c r="H10" s="15"/>
      <c r="I10" s="15"/>
      <c r="J10" s="83" t="s">
        <v>29</v>
      </c>
      <c r="K10" s="84"/>
      <c r="L10" s="84"/>
      <c r="M10" s="85"/>
      <c r="N10" s="51"/>
      <c r="O10" s="20"/>
    </row>
    <row r="11" spans="2:15" x14ac:dyDescent="0.25">
      <c r="B11" s="4"/>
      <c r="C11" s="5"/>
      <c r="D11" s="6" t="s">
        <v>30</v>
      </c>
      <c r="E11" s="7">
        <f t="shared" ref="E11:E15" si="1">E10</f>
        <v>18</v>
      </c>
      <c r="F11" s="15"/>
      <c r="G11" s="15"/>
      <c r="H11" s="15"/>
      <c r="I11" s="15"/>
      <c r="J11" s="86"/>
      <c r="K11" s="97"/>
      <c r="L11" s="97"/>
      <c r="M11" s="87"/>
      <c r="N11" s="51"/>
      <c r="O11" s="20"/>
    </row>
    <row r="12" spans="2:15" x14ac:dyDescent="0.25">
      <c r="B12" s="4"/>
      <c r="C12" s="5"/>
      <c r="D12" s="6" t="s">
        <v>31</v>
      </c>
      <c r="E12" s="7">
        <f>E11</f>
        <v>18</v>
      </c>
      <c r="F12" s="15"/>
      <c r="G12" s="15"/>
      <c r="H12" s="15"/>
      <c r="I12" s="15"/>
      <c r="J12" s="86"/>
      <c r="K12" s="97"/>
      <c r="L12" s="97"/>
      <c r="M12" s="87"/>
      <c r="N12" s="51"/>
      <c r="O12" s="20"/>
    </row>
    <row r="13" spans="2:15" x14ac:dyDescent="0.25">
      <c r="B13" s="4"/>
      <c r="C13" s="5"/>
      <c r="D13" s="6" t="s">
        <v>32</v>
      </c>
      <c r="E13" s="7">
        <f t="shared" si="1"/>
        <v>18</v>
      </c>
      <c r="F13" s="15"/>
      <c r="G13" s="15"/>
      <c r="H13" s="15"/>
      <c r="I13" s="15"/>
      <c r="J13" s="86"/>
      <c r="K13" s="97"/>
      <c r="L13" s="97"/>
      <c r="M13" s="87"/>
      <c r="N13" s="51"/>
      <c r="O13" s="20"/>
    </row>
    <row r="14" spans="2:15" x14ac:dyDescent="0.25">
      <c r="B14" s="4"/>
      <c r="C14" s="5"/>
      <c r="D14" s="6" t="s">
        <v>33</v>
      </c>
      <c r="E14" s="7">
        <f>E13</f>
        <v>18</v>
      </c>
      <c r="F14" s="15"/>
      <c r="G14" s="15"/>
      <c r="H14" s="15"/>
      <c r="I14" s="15"/>
      <c r="J14" s="86"/>
      <c r="K14" s="97"/>
      <c r="L14" s="97"/>
      <c r="M14" s="87"/>
      <c r="N14" s="51"/>
      <c r="O14" s="20"/>
    </row>
    <row r="15" spans="2:15" x14ac:dyDescent="0.25">
      <c r="B15" s="4"/>
      <c r="C15" s="5"/>
      <c r="D15" s="6" t="s">
        <v>34</v>
      </c>
      <c r="E15" s="7">
        <f t="shared" si="1"/>
        <v>18</v>
      </c>
      <c r="F15" s="15"/>
      <c r="G15" s="15"/>
      <c r="H15" s="15"/>
      <c r="I15" s="15"/>
      <c r="J15" s="88"/>
      <c r="K15" s="89"/>
      <c r="L15" s="89"/>
      <c r="M15" s="90"/>
      <c r="N15" s="51"/>
      <c r="O15" s="20"/>
    </row>
    <row r="16" spans="2:15" x14ac:dyDescent="0.25">
      <c r="B16" s="4"/>
      <c r="C16" s="5"/>
      <c r="D16" s="6"/>
      <c r="E16" s="7"/>
      <c r="F16" s="8"/>
      <c r="G16" s="8"/>
      <c r="H16" s="8"/>
      <c r="I16" s="8"/>
      <c r="J16" s="78"/>
      <c r="K16" s="78"/>
      <c r="L16" s="78"/>
      <c r="M16" s="79"/>
      <c r="N16" s="51"/>
      <c r="O16" s="11"/>
    </row>
    <row r="17" spans="2:15" x14ac:dyDescent="0.25">
      <c r="B17" s="4">
        <v>3</v>
      </c>
      <c r="C17" s="5" t="s">
        <v>35</v>
      </c>
      <c r="D17" s="12" t="s">
        <v>36</v>
      </c>
      <c r="E17" s="7">
        <v>1</v>
      </c>
      <c r="F17" s="8"/>
      <c r="G17" s="8"/>
      <c r="H17" s="8"/>
      <c r="I17" s="8"/>
      <c r="J17" s="80" t="s">
        <v>16</v>
      </c>
      <c r="K17" s="81"/>
      <c r="L17" s="81"/>
      <c r="M17" s="82"/>
      <c r="N17" s="10"/>
      <c r="O17" s="13" t="str">
        <f>IF(J17="Physical Points","",CONCATENATE(#REF!," ",P17,"/",Q17))</f>
        <v/>
      </c>
    </row>
    <row r="18" spans="2:15" x14ac:dyDescent="0.25">
      <c r="B18" s="4"/>
      <c r="C18" s="5"/>
      <c r="D18" s="6" t="s">
        <v>37</v>
      </c>
      <c r="E18" s="7">
        <v>1</v>
      </c>
      <c r="F18" s="15">
        <v>1</v>
      </c>
      <c r="G18" s="15">
        <v>0</v>
      </c>
      <c r="H18" s="15">
        <v>0</v>
      </c>
      <c r="I18" s="15">
        <v>0</v>
      </c>
      <c r="J18" s="78">
        <f>F18*$F18</f>
        <v>1</v>
      </c>
      <c r="K18" s="78">
        <f>G18*$F18</f>
        <v>0</v>
      </c>
      <c r="L18" s="78">
        <f>H18*$F18</f>
        <v>0</v>
      </c>
      <c r="M18" s="79">
        <f>I18*$F18</f>
        <v>0</v>
      </c>
      <c r="N18" s="51"/>
      <c r="O18" s="20"/>
    </row>
    <row r="19" spans="2:15" x14ac:dyDescent="0.25">
      <c r="B19" s="4"/>
      <c r="C19" s="5"/>
      <c r="D19" s="17"/>
      <c r="E19" s="7"/>
      <c r="F19" s="15"/>
      <c r="G19" s="15"/>
      <c r="H19" s="15"/>
      <c r="I19" s="15"/>
      <c r="J19" s="91"/>
      <c r="K19" s="92"/>
      <c r="L19" s="91"/>
      <c r="M19" s="79"/>
      <c r="N19" s="10"/>
      <c r="O19" s="16"/>
    </row>
    <row r="20" spans="2:15" x14ac:dyDescent="0.25">
      <c r="B20" s="4">
        <v>4</v>
      </c>
      <c r="C20" s="5" t="s">
        <v>38</v>
      </c>
      <c r="D20" s="12" t="s">
        <v>39</v>
      </c>
      <c r="E20" s="7">
        <v>1</v>
      </c>
      <c r="F20" s="8"/>
      <c r="G20" s="8"/>
      <c r="H20" s="8"/>
      <c r="I20" s="8"/>
      <c r="J20" s="80" t="s">
        <v>22</v>
      </c>
      <c r="K20" s="81"/>
      <c r="L20" s="81"/>
      <c r="M20" s="82"/>
      <c r="N20" s="10" t="s">
        <v>23</v>
      </c>
      <c r="O20" s="13" t="e">
        <f>IF(J20="Physical Points","",CONCATENATE(#REF!," ",P20,"/",Q20))</f>
        <v>#REF!</v>
      </c>
    </row>
    <row r="21" spans="2:15" x14ac:dyDescent="0.25">
      <c r="B21" s="4"/>
      <c r="C21" s="5"/>
      <c r="D21" s="6" t="s">
        <v>40</v>
      </c>
      <c r="E21" s="7">
        <f>E20</f>
        <v>1</v>
      </c>
      <c r="F21" s="15">
        <v>1</v>
      </c>
      <c r="G21" s="15">
        <v>0</v>
      </c>
      <c r="H21" s="15">
        <v>0</v>
      </c>
      <c r="I21" s="15">
        <v>0</v>
      </c>
      <c r="J21" s="78">
        <f>F21*$F21</f>
        <v>1</v>
      </c>
      <c r="K21" s="78">
        <f>G21*$F21</f>
        <v>0</v>
      </c>
      <c r="L21" s="78">
        <f>H21*$F21</f>
        <v>0</v>
      </c>
      <c r="M21" s="79">
        <f>I21*$F21</f>
        <v>0</v>
      </c>
      <c r="N21" s="51"/>
      <c r="O21" s="20"/>
    </row>
    <row r="22" spans="2:15" x14ac:dyDescent="0.25">
      <c r="B22" s="4"/>
      <c r="C22" s="5"/>
      <c r="D22" s="6" t="s">
        <v>41</v>
      </c>
      <c r="E22" s="7">
        <f>E21</f>
        <v>1</v>
      </c>
      <c r="F22" s="15">
        <v>1</v>
      </c>
      <c r="G22" s="15">
        <v>0</v>
      </c>
      <c r="H22" s="15">
        <v>0</v>
      </c>
      <c r="I22" s="15">
        <v>0</v>
      </c>
      <c r="J22" s="78">
        <f>F22*$F22</f>
        <v>1</v>
      </c>
      <c r="K22" s="78">
        <f>G22*$F22</f>
        <v>0</v>
      </c>
      <c r="L22" s="78">
        <f>H22*$F22</f>
        <v>0</v>
      </c>
      <c r="M22" s="79">
        <f>I22*$F22</f>
        <v>0</v>
      </c>
      <c r="N22" s="51"/>
      <c r="O22" s="20"/>
    </row>
    <row r="23" spans="2:15" x14ac:dyDescent="0.25">
      <c r="B23" s="4"/>
      <c r="C23" s="5"/>
      <c r="D23" s="6"/>
      <c r="E23" s="7"/>
      <c r="F23" s="8"/>
      <c r="G23" s="8"/>
      <c r="H23" s="8"/>
      <c r="I23" s="8"/>
      <c r="J23" s="78"/>
      <c r="K23" s="78"/>
      <c r="L23" s="78"/>
      <c r="M23" s="79"/>
      <c r="N23" s="51"/>
      <c r="O23" s="11"/>
    </row>
    <row r="24" spans="2:15" x14ac:dyDescent="0.25">
      <c r="B24" s="4">
        <v>5</v>
      </c>
      <c r="C24" s="5" t="s">
        <v>42</v>
      </c>
      <c r="D24" s="12" t="s">
        <v>43</v>
      </c>
      <c r="E24" s="7">
        <v>1</v>
      </c>
      <c r="F24" s="8"/>
      <c r="G24" s="8"/>
      <c r="H24" s="8"/>
      <c r="I24" s="8"/>
      <c r="J24" s="80" t="s">
        <v>22</v>
      </c>
      <c r="K24" s="81"/>
      <c r="L24" s="81"/>
      <c r="M24" s="82"/>
      <c r="N24" s="10" t="s">
        <v>23</v>
      </c>
      <c r="O24" s="13" t="e">
        <f>IF(J24="Physical Points","",CONCATENATE(#REF!," ",P24,"/",Q24))</f>
        <v>#REF!</v>
      </c>
    </row>
    <row r="25" spans="2:15" x14ac:dyDescent="0.25">
      <c r="B25" s="4"/>
      <c r="C25" s="5"/>
      <c r="D25" s="6" t="s">
        <v>37</v>
      </c>
      <c r="E25" s="7">
        <v>1</v>
      </c>
      <c r="F25" s="15">
        <v>1</v>
      </c>
      <c r="G25" s="15">
        <v>0</v>
      </c>
      <c r="H25" s="15">
        <v>0</v>
      </c>
      <c r="I25" s="15">
        <v>0</v>
      </c>
      <c r="J25" s="78">
        <f>F25*$F25</f>
        <v>1</v>
      </c>
      <c r="K25" s="78">
        <f>G25*$F25</f>
        <v>0</v>
      </c>
      <c r="L25" s="78">
        <f>H25*$F25</f>
        <v>0</v>
      </c>
      <c r="M25" s="79">
        <f>I25*$F25</f>
        <v>0</v>
      </c>
      <c r="N25" s="51"/>
      <c r="O25" s="20"/>
    </row>
    <row r="26" spans="2:15" x14ac:dyDescent="0.25">
      <c r="B26" s="4"/>
      <c r="C26" s="5"/>
      <c r="D26" s="6"/>
      <c r="E26" s="7"/>
      <c r="F26" s="8"/>
      <c r="G26" s="8"/>
      <c r="H26" s="8"/>
      <c r="I26" s="8"/>
      <c r="J26" s="78"/>
      <c r="K26" s="78"/>
      <c r="L26" s="78"/>
      <c r="M26" s="79"/>
      <c r="N26" s="51"/>
      <c r="O26" s="11"/>
    </row>
    <row r="27" spans="2:15" x14ac:dyDescent="0.25">
      <c r="B27" s="4">
        <v>6</v>
      </c>
      <c r="C27" s="5" t="s">
        <v>44</v>
      </c>
      <c r="D27" s="12" t="s">
        <v>15</v>
      </c>
      <c r="E27" s="7">
        <v>1</v>
      </c>
      <c r="F27" s="8"/>
      <c r="G27" s="8"/>
      <c r="H27" s="8"/>
      <c r="I27" s="8"/>
      <c r="J27" s="80" t="s">
        <v>16</v>
      </c>
      <c r="K27" s="81"/>
      <c r="L27" s="81"/>
      <c r="M27" s="82"/>
      <c r="N27" s="10"/>
      <c r="O27" s="13" t="str">
        <f>IF(J27="Physical Points","",CONCATENATE(#REF!," ",P27,"/",Q27))</f>
        <v/>
      </c>
    </row>
    <row r="28" spans="2:15" x14ac:dyDescent="0.25">
      <c r="B28" s="4"/>
      <c r="C28" s="5"/>
      <c r="D28" s="6" t="s">
        <v>45</v>
      </c>
      <c r="E28" s="7">
        <f>E27</f>
        <v>1</v>
      </c>
      <c r="F28" s="15">
        <v>1</v>
      </c>
      <c r="G28" s="15">
        <v>0</v>
      </c>
      <c r="H28" s="15">
        <v>0</v>
      </c>
      <c r="I28" s="15">
        <v>0</v>
      </c>
      <c r="J28" s="78">
        <f>F28*$F28</f>
        <v>1</v>
      </c>
      <c r="K28" s="78">
        <f>G28*$F28</f>
        <v>0</v>
      </c>
      <c r="L28" s="78">
        <f>H28*$F28</f>
        <v>0</v>
      </c>
      <c r="M28" s="79">
        <f>I28*$F28</f>
        <v>0</v>
      </c>
      <c r="N28" s="51"/>
      <c r="O28" s="20" t="s">
        <v>46</v>
      </c>
    </row>
    <row r="29" spans="2:15" x14ac:dyDescent="0.25">
      <c r="B29" s="4"/>
      <c r="C29" s="5"/>
      <c r="D29" s="6" t="s">
        <v>47</v>
      </c>
      <c r="E29" s="7">
        <f>E28</f>
        <v>1</v>
      </c>
      <c r="F29" s="15">
        <v>1</v>
      </c>
      <c r="G29" s="15">
        <v>0</v>
      </c>
      <c r="H29" s="15">
        <v>0</v>
      </c>
      <c r="I29" s="15">
        <v>0</v>
      </c>
      <c r="J29" s="78">
        <f>F29*$F29</f>
        <v>1</v>
      </c>
      <c r="K29" s="78">
        <f>G29*$F29</f>
        <v>0</v>
      </c>
      <c r="L29" s="78">
        <f>H29*$F29</f>
        <v>0</v>
      </c>
      <c r="M29" s="79">
        <f>I29*$F29</f>
        <v>0</v>
      </c>
      <c r="N29" s="51"/>
      <c r="O29" s="20"/>
    </row>
    <row r="30" spans="2:15" x14ac:dyDescent="0.25">
      <c r="B30" s="4"/>
      <c r="C30" s="5"/>
      <c r="D30" s="6" t="s">
        <v>48</v>
      </c>
      <c r="E30" s="7">
        <f>E29</f>
        <v>1</v>
      </c>
      <c r="F30" s="15">
        <v>0</v>
      </c>
      <c r="G30" s="15">
        <v>0</v>
      </c>
      <c r="H30" s="15">
        <v>1</v>
      </c>
      <c r="I30" s="15">
        <v>0</v>
      </c>
      <c r="J30" s="78">
        <f>F30*$F30</f>
        <v>0</v>
      </c>
      <c r="K30" s="78">
        <f>G30*$F30</f>
        <v>0</v>
      </c>
      <c r="L30" s="78">
        <v>1</v>
      </c>
      <c r="M30" s="79">
        <f>I30*$F30</f>
        <v>0</v>
      </c>
      <c r="N30" s="51"/>
      <c r="O30" s="20" t="s">
        <v>49</v>
      </c>
    </row>
    <row r="31" spans="2:15" x14ac:dyDescent="0.25">
      <c r="B31" s="4"/>
      <c r="C31" s="5"/>
      <c r="D31" s="6"/>
      <c r="E31" s="7"/>
      <c r="F31" s="8"/>
      <c r="G31" s="8"/>
      <c r="H31" s="8"/>
      <c r="I31" s="8"/>
      <c r="J31" s="78"/>
      <c r="K31" s="78"/>
      <c r="L31" s="78"/>
      <c r="M31" s="79"/>
      <c r="N31" s="51"/>
      <c r="O31" s="11"/>
    </row>
    <row r="32" spans="2:15" x14ac:dyDescent="0.25">
      <c r="B32" s="4">
        <v>7</v>
      </c>
      <c r="C32" s="5" t="s">
        <v>50</v>
      </c>
      <c r="D32" s="12" t="s">
        <v>15</v>
      </c>
      <c r="E32" s="7">
        <v>1</v>
      </c>
      <c r="F32" s="8"/>
      <c r="G32" s="8"/>
      <c r="H32" s="8"/>
      <c r="I32" s="8"/>
      <c r="J32" s="80" t="s">
        <v>16</v>
      </c>
      <c r="K32" s="81"/>
      <c r="L32" s="81"/>
      <c r="M32" s="82"/>
      <c r="N32" s="10"/>
      <c r="O32" s="13" t="str">
        <f>IF(J32="Physical Points","",CONCATENATE(#REF!," ",P32,"/",Q32))</f>
        <v/>
      </c>
    </row>
    <row r="33" spans="2:15" x14ac:dyDescent="0.25">
      <c r="B33" s="4"/>
      <c r="C33" s="14" t="s">
        <v>51</v>
      </c>
      <c r="D33" s="6" t="s">
        <v>52</v>
      </c>
      <c r="E33" s="7">
        <f>E32</f>
        <v>1</v>
      </c>
      <c r="F33" s="15">
        <v>1</v>
      </c>
      <c r="G33" s="15">
        <v>0</v>
      </c>
      <c r="H33" s="15">
        <v>0</v>
      </c>
      <c r="I33" s="15">
        <v>0</v>
      </c>
      <c r="J33" s="78">
        <f>F33*$F33</f>
        <v>1</v>
      </c>
      <c r="K33" s="78">
        <f>G33*$F33</f>
        <v>0</v>
      </c>
      <c r="L33" s="78">
        <f>H33*$F33</f>
        <v>0</v>
      </c>
      <c r="M33" s="79">
        <f>I33*$F33</f>
        <v>0</v>
      </c>
      <c r="N33" s="51"/>
      <c r="O33" s="20"/>
    </row>
    <row r="34" spans="2:15" x14ac:dyDescent="0.25">
      <c r="B34" s="4"/>
      <c r="C34" s="14"/>
      <c r="D34" s="6" t="s">
        <v>53</v>
      </c>
      <c r="E34" s="7">
        <f>E33</f>
        <v>1</v>
      </c>
      <c r="F34" s="15">
        <v>1</v>
      </c>
      <c r="G34" s="15">
        <v>0</v>
      </c>
      <c r="H34" s="15">
        <v>0</v>
      </c>
      <c r="I34" s="15">
        <v>0</v>
      </c>
      <c r="J34" s="78">
        <f>F34*$F34</f>
        <v>1</v>
      </c>
      <c r="K34" s="78">
        <f>G34*$F34</f>
        <v>0</v>
      </c>
      <c r="L34" s="78">
        <f>H34*$F34</f>
        <v>0</v>
      </c>
      <c r="M34" s="79">
        <f>I34*$F34</f>
        <v>0</v>
      </c>
      <c r="N34" s="51"/>
      <c r="O34" s="20"/>
    </row>
    <row r="35" spans="2:15" x14ac:dyDescent="0.25">
      <c r="B35" s="4"/>
      <c r="C35" s="5"/>
      <c r="D35" s="6" t="s">
        <v>54</v>
      </c>
      <c r="E35" s="7">
        <f>E34</f>
        <v>1</v>
      </c>
      <c r="F35" s="15">
        <v>1</v>
      </c>
      <c r="G35" s="15">
        <v>0</v>
      </c>
      <c r="H35" s="15">
        <v>0</v>
      </c>
      <c r="I35" s="15">
        <v>0</v>
      </c>
      <c r="J35" s="78">
        <f>F35*$F35</f>
        <v>1</v>
      </c>
      <c r="K35" s="78">
        <f>G35*$F35</f>
        <v>0</v>
      </c>
      <c r="L35" s="78">
        <f>H35*$F35</f>
        <v>0</v>
      </c>
      <c r="M35" s="79">
        <f>I35*$F35</f>
        <v>0</v>
      </c>
      <c r="N35" s="51"/>
      <c r="O35" s="20"/>
    </row>
    <row r="36" spans="2:15" x14ac:dyDescent="0.25">
      <c r="B36" s="4"/>
      <c r="C36" s="5"/>
      <c r="D36" s="6" t="s">
        <v>55</v>
      </c>
      <c r="E36" s="7">
        <f>E35</f>
        <v>1</v>
      </c>
      <c r="F36" s="15">
        <v>1</v>
      </c>
      <c r="G36" s="15">
        <v>0</v>
      </c>
      <c r="H36" s="15">
        <v>0</v>
      </c>
      <c r="I36" s="15">
        <v>0</v>
      </c>
      <c r="J36" s="78">
        <f>F36*$F36</f>
        <v>1</v>
      </c>
      <c r="K36" s="78">
        <f>G36*$F36</f>
        <v>0</v>
      </c>
      <c r="L36" s="78">
        <f>H36*$F36</f>
        <v>0</v>
      </c>
      <c r="M36" s="79">
        <f>I36*$F36</f>
        <v>0</v>
      </c>
      <c r="N36" s="51"/>
      <c r="O36" s="20"/>
    </row>
    <row r="37" spans="2:15" x14ac:dyDescent="0.25">
      <c r="B37" s="4"/>
      <c r="C37" s="5"/>
      <c r="D37" s="6" t="s">
        <v>56</v>
      </c>
      <c r="E37" s="7">
        <f>E36</f>
        <v>1</v>
      </c>
      <c r="F37" s="15">
        <v>1</v>
      </c>
      <c r="G37" s="15">
        <v>0</v>
      </c>
      <c r="H37" s="15">
        <v>0</v>
      </c>
      <c r="I37" s="15">
        <v>0</v>
      </c>
      <c r="J37" s="78">
        <f>F37*$F37</f>
        <v>1</v>
      </c>
      <c r="K37" s="78">
        <f>G37*$F37</f>
        <v>0</v>
      </c>
      <c r="L37" s="78">
        <f>H37*$F37</f>
        <v>0</v>
      </c>
      <c r="M37" s="79">
        <f>I37*$F37</f>
        <v>0</v>
      </c>
      <c r="N37" s="51"/>
      <c r="O37" s="20"/>
    </row>
    <row r="38" spans="2:15" x14ac:dyDescent="0.25">
      <c r="B38" s="4"/>
      <c r="C38" s="5"/>
      <c r="D38" s="6"/>
      <c r="E38" s="7"/>
      <c r="F38" s="15"/>
      <c r="G38" s="15"/>
      <c r="H38" s="15"/>
      <c r="I38" s="15"/>
      <c r="J38" s="93"/>
      <c r="K38" s="94"/>
      <c r="L38" s="94"/>
      <c r="M38" s="95"/>
      <c r="N38" s="10"/>
      <c r="O38" s="20"/>
    </row>
    <row r="39" spans="2:15" x14ac:dyDescent="0.25">
      <c r="B39" s="4">
        <v>8</v>
      </c>
      <c r="C39" s="5" t="s">
        <v>57</v>
      </c>
      <c r="D39" s="12" t="s">
        <v>15</v>
      </c>
      <c r="E39" s="7">
        <v>1</v>
      </c>
      <c r="F39" s="8"/>
      <c r="G39" s="8"/>
      <c r="H39" s="8"/>
      <c r="I39" s="8"/>
      <c r="J39" s="80" t="s">
        <v>16</v>
      </c>
      <c r="K39" s="81"/>
      <c r="L39" s="81"/>
      <c r="M39" s="82"/>
      <c r="N39" s="10"/>
      <c r="O39" s="13" t="str">
        <f>IF(J39="Physical Points","",CONCATENATE(#REF!," ",P39,"/",Q39))</f>
        <v/>
      </c>
    </row>
    <row r="40" spans="2:15" x14ac:dyDescent="0.25">
      <c r="B40" s="4"/>
      <c r="C40" s="14" t="s">
        <v>58</v>
      </c>
      <c r="D40" s="6" t="s">
        <v>52</v>
      </c>
      <c r="E40" s="7">
        <f>E39</f>
        <v>1</v>
      </c>
      <c r="F40" s="15">
        <v>1</v>
      </c>
      <c r="G40" s="15">
        <v>0</v>
      </c>
      <c r="H40" s="15">
        <v>0</v>
      </c>
      <c r="I40" s="15">
        <v>0</v>
      </c>
      <c r="J40" s="78">
        <f>F40*$F40</f>
        <v>1</v>
      </c>
      <c r="K40" s="78">
        <f>G40*$F40</f>
        <v>0</v>
      </c>
      <c r="L40" s="78">
        <f>H40*$F40</f>
        <v>0</v>
      </c>
      <c r="M40" s="79">
        <f>I40*$F40</f>
        <v>0</v>
      </c>
      <c r="N40" s="51"/>
      <c r="O40" s="20"/>
    </row>
    <row r="41" spans="2:15" x14ac:dyDescent="0.25">
      <c r="B41" s="4"/>
      <c r="C41" s="5"/>
      <c r="D41" s="6" t="s">
        <v>53</v>
      </c>
      <c r="E41" s="7">
        <f>E40</f>
        <v>1</v>
      </c>
      <c r="F41" s="15">
        <v>1</v>
      </c>
      <c r="G41" s="15">
        <v>0</v>
      </c>
      <c r="H41" s="15">
        <v>0</v>
      </c>
      <c r="I41" s="15">
        <v>0</v>
      </c>
      <c r="J41" s="78">
        <f>F41*$F41</f>
        <v>1</v>
      </c>
      <c r="K41" s="78">
        <f>G41*$F41</f>
        <v>0</v>
      </c>
      <c r="L41" s="78">
        <f>H41*$F41</f>
        <v>0</v>
      </c>
      <c r="M41" s="79">
        <f>I41*$F41</f>
        <v>0</v>
      </c>
      <c r="N41" s="51"/>
      <c r="O41" s="20"/>
    </row>
    <row r="42" spans="2:15" x14ac:dyDescent="0.25">
      <c r="B42" s="4"/>
      <c r="C42" s="5"/>
      <c r="D42" s="6" t="s">
        <v>55</v>
      </c>
      <c r="E42" s="7">
        <f>E41</f>
        <v>1</v>
      </c>
      <c r="F42" s="15">
        <v>1</v>
      </c>
      <c r="G42" s="15">
        <v>0</v>
      </c>
      <c r="H42" s="15">
        <v>0</v>
      </c>
      <c r="I42" s="15">
        <v>0</v>
      </c>
      <c r="J42" s="78">
        <f>F42*$F42</f>
        <v>1</v>
      </c>
      <c r="K42" s="78">
        <f>G42*$F42</f>
        <v>0</v>
      </c>
      <c r="L42" s="78">
        <f>H42*$F42</f>
        <v>0</v>
      </c>
      <c r="M42" s="79">
        <f>I42*$F42</f>
        <v>0</v>
      </c>
      <c r="N42" s="51"/>
      <c r="O42" s="20"/>
    </row>
    <row r="43" spans="2:15" x14ac:dyDescent="0.25">
      <c r="B43" s="4"/>
      <c r="C43" s="5"/>
      <c r="D43" s="6" t="s">
        <v>56</v>
      </c>
      <c r="E43" s="7">
        <f>E42</f>
        <v>1</v>
      </c>
      <c r="F43" s="15">
        <v>1</v>
      </c>
      <c r="G43" s="15">
        <v>0</v>
      </c>
      <c r="H43" s="15">
        <v>0</v>
      </c>
      <c r="I43" s="15">
        <v>0</v>
      </c>
      <c r="J43" s="78">
        <f>F43*$F43</f>
        <v>1</v>
      </c>
      <c r="K43" s="78">
        <f>G43*$F43</f>
        <v>0</v>
      </c>
      <c r="L43" s="78">
        <f>H43*$F43</f>
        <v>0</v>
      </c>
      <c r="M43" s="79">
        <f>I43*$F43</f>
        <v>0</v>
      </c>
      <c r="N43" s="51"/>
      <c r="O43" s="20"/>
    </row>
    <row r="44" spans="2:15" x14ac:dyDescent="0.25">
      <c r="B44" s="4"/>
      <c r="C44" s="5"/>
      <c r="D44" s="6"/>
      <c r="E44" s="7"/>
      <c r="F44" s="15"/>
      <c r="G44" s="15"/>
      <c r="H44" s="15"/>
      <c r="I44" s="15"/>
      <c r="J44" s="93"/>
      <c r="K44" s="94"/>
      <c r="L44" s="94"/>
      <c r="M44" s="95"/>
      <c r="N44" s="10"/>
      <c r="O44" s="20"/>
    </row>
    <row r="45" spans="2:15" x14ac:dyDescent="0.25">
      <c r="B45" s="4">
        <v>9</v>
      </c>
      <c r="C45" s="5" t="s">
        <v>59</v>
      </c>
      <c r="D45" s="12" t="s">
        <v>15</v>
      </c>
      <c r="E45" s="7">
        <v>1</v>
      </c>
      <c r="F45" s="8"/>
      <c r="G45" s="8"/>
      <c r="H45" s="8"/>
      <c r="I45" s="8"/>
      <c r="J45" s="80" t="s">
        <v>16</v>
      </c>
      <c r="K45" s="81"/>
      <c r="L45" s="81"/>
      <c r="M45" s="82"/>
      <c r="N45" s="10"/>
      <c r="O45" s="13" t="str">
        <f>IF(J45="Physical Points","",CONCATENATE(#REF!," ",P45,"/",Q45))</f>
        <v/>
      </c>
    </row>
    <row r="46" spans="2:15" x14ac:dyDescent="0.25">
      <c r="B46" s="4"/>
      <c r="C46" s="5"/>
      <c r="D46" s="6" t="s">
        <v>60</v>
      </c>
      <c r="E46" s="7">
        <f>E45</f>
        <v>1</v>
      </c>
      <c r="F46" s="15">
        <v>1</v>
      </c>
      <c r="G46" s="15">
        <v>0</v>
      </c>
      <c r="H46" s="15">
        <v>0</v>
      </c>
      <c r="I46" s="15">
        <v>0</v>
      </c>
      <c r="J46" s="78">
        <f>F46*$F46</f>
        <v>1</v>
      </c>
      <c r="K46" s="78">
        <f>G46*$F46</f>
        <v>0</v>
      </c>
      <c r="L46" s="78">
        <f>H46*$F46</f>
        <v>0</v>
      </c>
      <c r="M46" s="79">
        <f>I46*$F46</f>
        <v>0</v>
      </c>
      <c r="N46" s="51"/>
      <c r="O46" s="20"/>
    </row>
    <row r="47" spans="2:15" x14ac:dyDescent="0.25">
      <c r="B47" s="4"/>
      <c r="C47" s="5"/>
      <c r="D47" s="6" t="s">
        <v>61</v>
      </c>
      <c r="E47" s="7">
        <f>E46</f>
        <v>1</v>
      </c>
      <c r="F47" s="15">
        <v>1</v>
      </c>
      <c r="G47" s="15">
        <v>0</v>
      </c>
      <c r="H47" s="15">
        <v>0</v>
      </c>
      <c r="I47" s="15">
        <v>0</v>
      </c>
      <c r="J47" s="78">
        <f>F47*$F47</f>
        <v>1</v>
      </c>
      <c r="K47" s="78">
        <f>G47*$F47</f>
        <v>0</v>
      </c>
      <c r="L47" s="78">
        <f>H47*$F47</f>
        <v>0</v>
      </c>
      <c r="M47" s="79">
        <f>I47*$F47</f>
        <v>0</v>
      </c>
      <c r="N47" s="51"/>
      <c r="O47" s="20"/>
    </row>
    <row r="48" spans="2:15" x14ac:dyDescent="0.25">
      <c r="B48" s="4"/>
      <c r="C48" s="5"/>
      <c r="D48" s="6" t="s">
        <v>62</v>
      </c>
      <c r="E48" s="7">
        <f>E47</f>
        <v>1</v>
      </c>
      <c r="F48" s="15">
        <v>1</v>
      </c>
      <c r="G48" s="15">
        <v>0</v>
      </c>
      <c r="H48" s="15">
        <v>0</v>
      </c>
      <c r="I48" s="15">
        <v>0</v>
      </c>
      <c r="J48" s="78">
        <f>F48*$F48</f>
        <v>1</v>
      </c>
      <c r="K48" s="78">
        <f>G48*$F48</f>
        <v>0</v>
      </c>
      <c r="L48" s="78">
        <f>H48*$F48</f>
        <v>0</v>
      </c>
      <c r="M48" s="79">
        <f>I48*$F48</f>
        <v>0</v>
      </c>
      <c r="N48" s="51"/>
      <c r="O48" s="20"/>
    </row>
    <row r="49" spans="2:15" x14ac:dyDescent="0.25">
      <c r="B49" s="4"/>
      <c r="C49" s="5"/>
      <c r="D49" s="6"/>
      <c r="E49" s="7"/>
      <c r="F49" s="15"/>
      <c r="G49" s="15"/>
      <c r="H49" s="15"/>
      <c r="I49" s="15"/>
      <c r="J49" s="93"/>
      <c r="K49" s="94"/>
      <c r="L49" s="94"/>
      <c r="M49" s="95"/>
      <c r="N49" s="10"/>
      <c r="O49" s="20"/>
    </row>
    <row r="50" spans="2:15" x14ac:dyDescent="0.25">
      <c r="B50" s="4">
        <v>10</v>
      </c>
      <c r="C50" s="5" t="s">
        <v>63</v>
      </c>
      <c r="D50" s="12" t="s">
        <v>15</v>
      </c>
      <c r="E50" s="7">
        <v>1</v>
      </c>
      <c r="F50" s="8"/>
      <c r="G50" s="8"/>
      <c r="H50" s="8"/>
      <c r="I50" s="8"/>
      <c r="J50" s="80" t="s">
        <v>16</v>
      </c>
      <c r="K50" s="81"/>
      <c r="L50" s="81"/>
      <c r="M50" s="82"/>
      <c r="N50" s="10"/>
      <c r="O50" s="13" t="str">
        <f>IF(J50="Physical Points","",CONCATENATE(#REF!," ",P50,"/",Q50))</f>
        <v/>
      </c>
    </row>
    <row r="51" spans="2:15" x14ac:dyDescent="0.25">
      <c r="B51" s="4"/>
      <c r="C51" s="14" t="s">
        <v>64</v>
      </c>
      <c r="D51" s="6" t="s">
        <v>65</v>
      </c>
      <c r="E51" s="7">
        <v>1</v>
      </c>
      <c r="F51" s="15">
        <v>0</v>
      </c>
      <c r="G51" s="15">
        <v>1</v>
      </c>
      <c r="H51" s="15">
        <v>0</v>
      </c>
      <c r="I51" s="15">
        <v>0</v>
      </c>
      <c r="J51" s="78">
        <f>F51*$F51</f>
        <v>0</v>
      </c>
      <c r="K51" s="78">
        <v>1</v>
      </c>
      <c r="L51" s="78">
        <f>H51*$F51</f>
        <v>0</v>
      </c>
      <c r="M51" s="79">
        <f>I51*$F51</f>
        <v>0</v>
      </c>
      <c r="N51" s="10"/>
      <c r="O51" s="16"/>
    </row>
    <row r="52" spans="2:15" x14ac:dyDescent="0.25">
      <c r="B52" s="4"/>
      <c r="C52" s="5"/>
      <c r="D52" s="6" t="s">
        <v>66</v>
      </c>
      <c r="E52" s="7">
        <v>1</v>
      </c>
      <c r="F52" s="15">
        <v>1</v>
      </c>
      <c r="G52" s="15">
        <v>0</v>
      </c>
      <c r="H52" s="15">
        <v>0</v>
      </c>
      <c r="I52" s="15">
        <v>0</v>
      </c>
      <c r="J52" s="78">
        <f>F52*$F52</f>
        <v>1</v>
      </c>
      <c r="K52" s="78">
        <f>G52*$F52</f>
        <v>0</v>
      </c>
      <c r="L52" s="78">
        <f>H52*$F52</f>
        <v>0</v>
      </c>
      <c r="M52" s="79">
        <f>I52*$F52</f>
        <v>0</v>
      </c>
      <c r="N52" s="10"/>
      <c r="O52" s="16"/>
    </row>
    <row r="53" spans="2:15" x14ac:dyDescent="0.25">
      <c r="B53" s="4"/>
      <c r="C53" s="5"/>
      <c r="D53" s="6" t="s">
        <v>67</v>
      </c>
      <c r="E53" s="7">
        <v>1</v>
      </c>
      <c r="F53" s="15">
        <v>1</v>
      </c>
      <c r="G53" s="15">
        <v>0</v>
      </c>
      <c r="H53" s="15">
        <v>0</v>
      </c>
      <c r="I53" s="15">
        <v>0</v>
      </c>
      <c r="J53" s="78">
        <f>F53*$F53</f>
        <v>1</v>
      </c>
      <c r="K53" s="78">
        <f>G53*$F53</f>
        <v>0</v>
      </c>
      <c r="L53" s="78">
        <f>H53*$F53</f>
        <v>0</v>
      </c>
      <c r="M53" s="79">
        <f>I53*$F53</f>
        <v>0</v>
      </c>
      <c r="N53" s="10"/>
      <c r="O53" s="16"/>
    </row>
    <row r="54" spans="2:15" x14ac:dyDescent="0.25">
      <c r="B54" s="4"/>
      <c r="C54" s="14"/>
      <c r="D54" s="6" t="s">
        <v>68</v>
      </c>
      <c r="E54" s="7">
        <v>1</v>
      </c>
      <c r="F54" s="15">
        <v>1</v>
      </c>
      <c r="G54" s="15">
        <v>0</v>
      </c>
      <c r="H54" s="15">
        <v>0</v>
      </c>
      <c r="I54" s="15">
        <v>0</v>
      </c>
      <c r="J54" s="78">
        <f>F54*$F54</f>
        <v>1</v>
      </c>
      <c r="K54" s="78">
        <f>G54*$F54</f>
        <v>0</v>
      </c>
      <c r="L54" s="78">
        <f>H54*$F54</f>
        <v>0</v>
      </c>
      <c r="M54" s="79">
        <f>I54*$F54</f>
        <v>0</v>
      </c>
      <c r="N54" s="10"/>
      <c r="O54" s="16"/>
    </row>
    <row r="55" spans="2:15" x14ac:dyDescent="0.25">
      <c r="B55" s="4"/>
      <c r="C55" s="14"/>
      <c r="D55" s="6" t="s">
        <v>69</v>
      </c>
      <c r="E55" s="7">
        <v>1</v>
      </c>
      <c r="F55" s="15">
        <v>0</v>
      </c>
      <c r="G55" s="15">
        <v>0</v>
      </c>
      <c r="H55" s="15">
        <v>1</v>
      </c>
      <c r="I55" s="15">
        <v>0</v>
      </c>
      <c r="J55" s="78">
        <f>F55*$F55</f>
        <v>0</v>
      </c>
      <c r="K55" s="78">
        <f>G55*$F55</f>
        <v>0</v>
      </c>
      <c r="L55" s="78">
        <v>1</v>
      </c>
      <c r="M55" s="79">
        <f>I55*$F55</f>
        <v>0</v>
      </c>
      <c r="N55" s="10"/>
      <c r="O55" s="16" t="s">
        <v>17</v>
      </c>
    </row>
    <row r="56" spans="2:15" x14ac:dyDescent="0.25">
      <c r="B56" s="4"/>
      <c r="C56" s="14"/>
      <c r="D56" s="6"/>
      <c r="E56" s="7"/>
      <c r="F56" s="15"/>
      <c r="G56" s="15"/>
      <c r="H56" s="15"/>
      <c r="I56" s="15"/>
      <c r="J56" s="93"/>
      <c r="K56" s="94"/>
      <c r="L56" s="94"/>
      <c r="M56" s="95"/>
      <c r="N56" s="10"/>
      <c r="O56" s="16"/>
    </row>
    <row r="57" spans="2:15" x14ac:dyDescent="0.25">
      <c r="B57" s="4">
        <v>11</v>
      </c>
      <c r="C57" s="5" t="s">
        <v>70</v>
      </c>
      <c r="D57" s="12" t="s">
        <v>15</v>
      </c>
      <c r="E57" s="7">
        <v>1</v>
      </c>
      <c r="F57" s="8"/>
      <c r="G57" s="8"/>
      <c r="H57" s="8"/>
      <c r="I57" s="8"/>
      <c r="J57" s="80" t="s">
        <v>16</v>
      </c>
      <c r="K57" s="81"/>
      <c r="L57" s="81"/>
      <c r="M57" s="82"/>
      <c r="N57" s="10"/>
      <c r="O57" s="13" t="str">
        <f>IF(J57="Physical Points","",CONCATENATE(#REF!," ",P57,"/",Q57))</f>
        <v/>
      </c>
    </row>
    <row r="58" spans="2:15" x14ac:dyDescent="0.25">
      <c r="B58" s="4"/>
      <c r="C58" s="14" t="s">
        <v>71</v>
      </c>
      <c r="D58" s="6" t="s">
        <v>65</v>
      </c>
      <c r="E58" s="7">
        <v>1</v>
      </c>
      <c r="F58" s="15">
        <v>0</v>
      </c>
      <c r="G58" s="15">
        <v>1</v>
      </c>
      <c r="H58" s="15">
        <v>0</v>
      </c>
      <c r="I58" s="15">
        <v>0</v>
      </c>
      <c r="J58" s="78">
        <f>F58*$F58</f>
        <v>0</v>
      </c>
      <c r="K58" s="78">
        <v>1</v>
      </c>
      <c r="L58" s="78">
        <f>H58*$F58</f>
        <v>0</v>
      </c>
      <c r="M58" s="79">
        <f>I58*$F58</f>
        <v>0</v>
      </c>
      <c r="N58" s="51"/>
      <c r="O58" s="69" t="s">
        <v>72</v>
      </c>
    </row>
    <row r="59" spans="2:15" x14ac:dyDescent="0.25">
      <c r="B59" s="4"/>
      <c r="C59" s="5"/>
      <c r="D59" s="6" t="s">
        <v>66</v>
      </c>
      <c r="E59" s="7">
        <v>1</v>
      </c>
      <c r="F59" s="15">
        <v>1</v>
      </c>
      <c r="G59" s="15">
        <v>0</v>
      </c>
      <c r="H59" s="15">
        <v>0</v>
      </c>
      <c r="I59" s="15">
        <v>0</v>
      </c>
      <c r="J59" s="78">
        <v>1</v>
      </c>
      <c r="K59" s="78">
        <f>G59*$F59</f>
        <v>0</v>
      </c>
      <c r="L59" s="78">
        <f>H59*$F59</f>
        <v>0</v>
      </c>
      <c r="M59" s="79">
        <f>I59*$F59</f>
        <v>0</v>
      </c>
      <c r="N59" s="51"/>
      <c r="O59" s="70"/>
    </row>
    <row r="60" spans="2:15" x14ac:dyDescent="0.25">
      <c r="B60" s="4"/>
      <c r="C60" s="5"/>
      <c r="D60" s="6" t="s">
        <v>67</v>
      </c>
      <c r="E60" s="7">
        <v>1</v>
      </c>
      <c r="F60" s="15">
        <v>1</v>
      </c>
      <c r="G60" s="15">
        <v>0</v>
      </c>
      <c r="H60" s="15">
        <v>0</v>
      </c>
      <c r="I60" s="15">
        <v>0</v>
      </c>
      <c r="J60" s="78">
        <f>F60*$F60</f>
        <v>1</v>
      </c>
      <c r="K60" s="78">
        <f>G60*$F60</f>
        <v>0</v>
      </c>
      <c r="L60" s="78">
        <f>H60*$F60</f>
        <v>0</v>
      </c>
      <c r="M60" s="79">
        <f>I60*$F60</f>
        <v>0</v>
      </c>
      <c r="N60" s="51"/>
      <c r="O60" s="70"/>
    </row>
    <row r="61" spans="2:15" x14ac:dyDescent="0.25">
      <c r="B61" s="4"/>
      <c r="C61" s="14"/>
      <c r="D61" s="6" t="s">
        <v>73</v>
      </c>
      <c r="E61" s="7">
        <v>1</v>
      </c>
      <c r="F61" s="15">
        <v>1</v>
      </c>
      <c r="G61" s="15">
        <v>0</v>
      </c>
      <c r="H61" s="15">
        <v>0</v>
      </c>
      <c r="I61" s="15">
        <v>0</v>
      </c>
      <c r="J61" s="78">
        <f>F61*$F61</f>
        <v>1</v>
      </c>
      <c r="K61" s="78">
        <f>G61*$F61</f>
        <v>0</v>
      </c>
      <c r="L61" s="78">
        <f>H61*$F61</f>
        <v>0</v>
      </c>
      <c r="M61" s="79">
        <f>I61*$F61</f>
        <v>0</v>
      </c>
      <c r="N61" s="51"/>
      <c r="O61" s="70"/>
    </row>
    <row r="62" spans="2:15" x14ac:dyDescent="0.25">
      <c r="B62" s="4"/>
      <c r="C62" s="5"/>
      <c r="D62" s="6" t="s">
        <v>74</v>
      </c>
      <c r="E62" s="7">
        <v>1</v>
      </c>
      <c r="F62" s="15">
        <v>1</v>
      </c>
      <c r="G62" s="15">
        <v>0</v>
      </c>
      <c r="H62" s="15">
        <v>0</v>
      </c>
      <c r="I62" s="15">
        <v>0</v>
      </c>
      <c r="J62" s="78">
        <f>F62*$F62</f>
        <v>1</v>
      </c>
      <c r="K62" s="78">
        <f>G62*$F62</f>
        <v>0</v>
      </c>
      <c r="L62" s="78">
        <f>H62*$F62</f>
        <v>0</v>
      </c>
      <c r="M62" s="79">
        <f>I62*$F62</f>
        <v>0</v>
      </c>
      <c r="N62" s="51"/>
      <c r="O62" s="70"/>
    </row>
    <row r="63" spans="2:15" x14ac:dyDescent="0.25">
      <c r="B63" s="4"/>
      <c r="C63" s="14"/>
      <c r="D63" s="6" t="s">
        <v>75</v>
      </c>
      <c r="E63" s="7">
        <v>1</v>
      </c>
      <c r="F63" s="15">
        <v>0</v>
      </c>
      <c r="G63" s="15">
        <v>0</v>
      </c>
      <c r="H63" s="15">
        <v>1</v>
      </c>
      <c r="I63" s="15">
        <v>0</v>
      </c>
      <c r="J63" s="78">
        <f>F63*$F63</f>
        <v>0</v>
      </c>
      <c r="K63" s="78">
        <f>G63*$F63</f>
        <v>0</v>
      </c>
      <c r="L63" s="78">
        <v>1</v>
      </c>
      <c r="M63" s="79">
        <f>I63*$F63</f>
        <v>0</v>
      </c>
      <c r="N63" s="51"/>
      <c r="O63" s="71"/>
    </row>
    <row r="64" spans="2:15" x14ac:dyDescent="0.25">
      <c r="B64" s="4"/>
      <c r="C64" s="5"/>
      <c r="D64" s="17"/>
      <c r="E64" s="18"/>
      <c r="F64" s="19"/>
      <c r="G64" s="19"/>
      <c r="H64" s="19"/>
      <c r="I64" s="19"/>
      <c r="J64" s="53"/>
      <c r="K64" s="53"/>
      <c r="L64" s="53"/>
      <c r="M64" s="9"/>
      <c r="N64" s="10"/>
      <c r="O64" s="20"/>
    </row>
    <row r="65" spans="2:15" x14ac:dyDescent="0.25">
      <c r="B65" s="4"/>
      <c r="C65" s="5"/>
      <c r="D65" s="21" t="s">
        <v>18</v>
      </c>
      <c r="E65" s="22">
        <v>0.2</v>
      </c>
      <c r="F65" s="23"/>
      <c r="G65" s="23"/>
      <c r="H65" s="23"/>
      <c r="I65" s="23"/>
      <c r="J65" s="77">
        <f>ROUNDUP(SUM(J4:J64)*$F65,0)</f>
        <v>0</v>
      </c>
      <c r="K65" s="77">
        <f>ROUNDUP(SUM(K4:K64)*$F65,0)</f>
        <v>0</v>
      </c>
      <c r="L65" s="77">
        <f>ROUNDUP(SUM(L4:L64)*$F65,0)</f>
        <v>0</v>
      </c>
      <c r="M65" s="77">
        <f>ROUNDUP(SUM(M4:M64)*$F65,0)</f>
        <v>0</v>
      </c>
      <c r="N65" s="24"/>
      <c r="O65" s="25"/>
    </row>
    <row r="66" spans="2:15" ht="15.75" x14ac:dyDescent="0.25">
      <c r="B66" s="4"/>
      <c r="C66" s="5"/>
      <c r="D66" s="21" t="s">
        <v>19</v>
      </c>
      <c r="E66" s="26">
        <f>SUM(J66:M66)</f>
        <v>32</v>
      </c>
      <c r="F66" s="27"/>
      <c r="G66" s="27"/>
      <c r="H66" s="27"/>
      <c r="I66" s="27"/>
      <c r="J66" s="28">
        <f>SUM(J4:J65)</f>
        <v>26</v>
      </c>
      <c r="K66" s="28">
        <f t="shared" ref="K66:M66" si="2">SUM(K4:K65)</f>
        <v>3</v>
      </c>
      <c r="L66" s="28">
        <f t="shared" si="2"/>
        <v>3</v>
      </c>
      <c r="M66" s="28">
        <f t="shared" si="2"/>
        <v>0</v>
      </c>
      <c r="N66" s="29"/>
      <c r="O66" s="25"/>
    </row>
    <row r="67" spans="2:15" x14ac:dyDescent="0.25">
      <c r="B67" s="30"/>
      <c r="C67" s="31"/>
      <c r="D67" s="32" t="s">
        <v>20</v>
      </c>
      <c r="E67" s="33" cm="1">
        <f t="array" ref="E67">SUM(SUMIF(J4:J64, {"BACnet/IP Integration","BACnet/MSTP Integration","Modbus/IP Integration","Modbus/RTU Integration","KNX IP Integration","Other Protocols"},E4:E64))</f>
        <v>21</v>
      </c>
      <c r="F67" s="34"/>
      <c r="G67" s="34"/>
      <c r="H67" s="34"/>
      <c r="I67" s="34"/>
      <c r="J67" s="35" cm="1">
        <f t="array" ref="J67">SUM(SUMIF(J5:J64, {"BACnet/IP Integration","BACnet/MSTP Integration","Modbus/IP Integration","Modbus/RTU Integration","KNX IP Integration","Other Protocols"},R5:R64))</f>
        <v>0</v>
      </c>
      <c r="K67" s="35"/>
      <c r="L67" s="35"/>
      <c r="M67" s="36"/>
      <c r="N67" s="37" t="e">
        <f>'[1]GWs Sum'!#REF! &amp;" G/Ws in DDC"</f>
        <v>#REF!</v>
      </c>
      <c r="O67" s="38"/>
    </row>
    <row r="68" spans="2:15" ht="18.75" thickBot="1" x14ac:dyDescent="0.3">
      <c r="B68" s="39"/>
      <c r="C68" s="40"/>
      <c r="D68" s="40"/>
      <c r="E68" s="41"/>
      <c r="F68" s="42"/>
      <c r="G68" s="42"/>
      <c r="H68" s="42"/>
      <c r="I68" s="42"/>
      <c r="J68" s="52"/>
      <c r="K68" s="43"/>
      <c r="L68" s="43"/>
      <c r="M68" s="44"/>
      <c r="N68" s="45"/>
      <c r="O68" s="46"/>
    </row>
    <row r="69" spans="2:15" ht="15.75" thickBot="1" x14ac:dyDescent="0.3">
      <c r="B69" s="47"/>
      <c r="C69" s="48"/>
      <c r="D69" s="48"/>
      <c r="E69" s="48"/>
      <c r="F69" s="49"/>
      <c r="G69" s="49"/>
      <c r="H69" s="49"/>
      <c r="I69" s="49"/>
      <c r="J69" s="48"/>
      <c r="K69" s="48"/>
      <c r="L69" s="48"/>
      <c r="M69" s="48"/>
      <c r="N69" s="48"/>
      <c r="O69" s="50"/>
    </row>
  </sheetData>
  <mergeCells count="14">
    <mergeCell ref="J17:M17"/>
    <mergeCell ref="J20:M20"/>
    <mergeCell ref="J24:M24"/>
    <mergeCell ref="J27:M27"/>
    <mergeCell ref="J32:M32"/>
    <mergeCell ref="J50:M50"/>
    <mergeCell ref="B2:B3"/>
    <mergeCell ref="C1:O1"/>
    <mergeCell ref="J5:M5"/>
    <mergeCell ref="J9:M9"/>
    <mergeCell ref="J10:M15"/>
    <mergeCell ref="J39:M39"/>
    <mergeCell ref="J45:M45"/>
    <mergeCell ref="J57:M57"/>
  </mergeCells>
  <dataValidations disablePrompts="1" count="4">
    <dataValidation type="list" allowBlank="1" showInputMessage="1" showErrorMessage="1" sqref="J27" xr:uid="{607717FE-B254-461D-926D-CC4E27379F2F}">
      <formula1>#REF!</formula1>
    </dataValidation>
    <dataValidation type="list" allowBlank="1" showInputMessage="1" showErrorMessage="1" sqref="J45" xr:uid="{226F299B-5CA1-401E-8B8F-DDAF01971C25}">
      <formula1>$AB$1886:$AB$1892</formula1>
    </dataValidation>
    <dataValidation type="list" allowBlank="1" showInputMessage="1" showErrorMessage="1" sqref="J32 J39" xr:uid="{61D5083F-EFEF-4FA4-9EF3-E3DE4A2E99CE}">
      <formula1>$AB$1950:$AB$1956</formula1>
    </dataValidation>
    <dataValidation type="list" allowBlank="1" showInputMessage="1" showErrorMessage="1" sqref="J50 J9 J5 J24 J20 J17 J57" xr:uid="{A75C96E4-258F-4EB0-81A3-B99DE02B312D}">
      <formula1>$AB$1499:$AB$1505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Moayad Ali [SanaControls]</cp:lastModifiedBy>
  <dcterms:created xsi:type="dcterms:W3CDTF">2015-06-05T18:17:20Z</dcterms:created>
  <dcterms:modified xsi:type="dcterms:W3CDTF">2026-08-19T07:40:57Z</dcterms:modified>
</cp:coreProperties>
</file>